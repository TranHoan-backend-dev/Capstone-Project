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1" sheetId="1" r:id="rId5"/>
    <sheet state="visible" name="W2" sheetId="2" r:id="rId6"/>
    <sheet state="visible" name="W3" sheetId="3" r:id="rId7"/>
    <sheet state="visible" name="W4" sheetId="4" r:id="rId8"/>
    <sheet state="visible" name="W5" sheetId="5" r:id="rId9"/>
    <sheet state="visible" name="W6" sheetId="6" r:id="rId10"/>
    <sheet state="visible" name="W7" sheetId="7" r:id="rId11"/>
    <sheet state="visible" name="W8" sheetId="8" r:id="rId12"/>
    <sheet state="visible" name="W9" sheetId="9" r:id="rId13"/>
    <sheet state="visible" name="W11" sheetId="10" r:id="rId14"/>
    <sheet state="visible" name="W13" sheetId="11" r:id="rId15"/>
  </sheets>
  <definedNames/>
  <calcPr/>
</workbook>
</file>

<file path=xl/sharedStrings.xml><?xml version="1.0" encoding="utf-8"?>
<sst xmlns="http://schemas.openxmlformats.org/spreadsheetml/2006/main" count="149" uniqueCount="36">
  <si>
    <t>Meeting minute</t>
  </si>
  <si>
    <t>Ngày họp</t>
  </si>
  <si>
    <t>Phòng họp</t>
  </si>
  <si>
    <t>BE320</t>
  </si>
  <si>
    <t>Giảng viên hướng dẫn</t>
  </si>
  <si>
    <t>Giảng viên Nguyễn Mạnh Hiển</t>
  </si>
  <si>
    <t>Thành viên tham gia</t>
  </si>
  <si>
    <t>Trần Xuân Hoàn</t>
  </si>
  <si>
    <t>Dương Minh Hiếu</t>
  </si>
  <si>
    <t>Phan Trường Giang</t>
  </si>
  <si>
    <t>Phạm Hải Đăng</t>
  </si>
  <si>
    <t>Nguyễn Đức Dũng</t>
  </si>
  <si>
    <t>Nội dung cuộc họp</t>
  </si>
  <si>
    <t xml:space="preserve">SEP490 _G39                                                                                              
5 Đề Tài: 
1. Dự án quản lý công trình lắp đặt đồng hồ nước ( Nên đập đi xây lại )
    Lưu ý: Được sự đồng thuận của bên công ty trong việc xây dựng lại dự án
2. Dự án hồ sơ y tế điện tử
3. Quản lí nguyên vật liệu cho xưởng sản xuất (Nên thêm phần quản lí quy trình sản xuất)  
    Lưu ý: Phải tiếp cận được đầy đủ tài liệu, hóa đơn, …. và Được xây dựng phần mềm quản lí quy trình sản xuất
4. Eduzet (Quản lí trung tâm) ( Sẽ ưu tiên nếu tiếp cận được sâu tận gốc)
5. Quản lí lắp đặt, bảo trì thang máy  - Không có khả năng scale
Đề Tài: Được lưu ý: 1 và 3
ƯU TIÊN: Dự án đủ mở
      Đủ thực tế
                Đáp ứng, tiếp cận được nhu cầu người dùng ( Xin được các data( hóa đơn, danh sách, …) cần thiết)
 Review week 4-5: Xem scale dự án có đủ không, xem luồng nghiệp vụ đạt yêu cầu chưa , xem xét để them các usecase hoặc AI. (sẽ bị hủy nếu dự án không đủ thực tế)
 Review week 13-14: Review khả năng ra hội đồng 
Tối thứ 6 – Chốt đề tài – Define bài toán - 80-100 usecase, liệt kê đầy đủ các tính năng 
Buổi sau chưa biết lịch: Trình bày được Report1,2 và Phần mở đầu Report 3 (Context , feature tree (vẽ xương cá/ fish bone)) 
Report 1 (Define Project) Quan Trọng Nhất:Nêu thực trạng( gặp vấn đề ở đâu) -&gt; Nêu bài toán (cần gì, làm gì) -&gt; Tìm ra các cách giải quyết bài toán có sẵn ( nghiên cứu có phù hợp không, ..) -&gt; Tại sao cách giải quyết có sẵn kh giải quyết được vấn đề của doanh nghiệp ?  -&gt; Giải quyết bài toán ( đưa ra scope) -&gt; Bọn em sẽ làm gì
Report 2 (Dự tính, ước lượng): Với bài toán lên -&gt; đưa ra các usecase -&gt; đưa ra các man days -&gt; chọn mô hình cho dự án ( vì sao nó phù hợp) -&gt; dự định thời gian </t>
  </si>
  <si>
    <t>BE312</t>
  </si>
  <si>
    <t xml:space="preserve">Meeting minutes
Report 1:
 Review fishbone : Không sử dụng mũi tên – infrastructure -&gt; device ( quản lý thiết bị nội bộ) – Water meter -&gt; WM customer 
Report 2:  -     Sửa No of Defects sắp xếp theo chiều giảm dần , Test Coverage sửa thành 100%,  Test từ chi tiết đến tổng quan  
Risk khác issue (problem) bỏ đi những vấn đề về nhân sự , thiếu kĩ năng, những vấn đề cá nhân .  Chậm trễ dl do nhiều nguyên nhân (estimate, sức khỏe cá nhân, …). Đây là quá trình phát triển không tính đến deploy -&gt; không nên đưa vào rủi ro. Outdate là rủi ro từ bên thứ 3 kphai từ quá trình phát triển. 
Sửa lại date phần 2. 1 (Iteration 4 sửa lại phần này cho đúng, cho phù hợp)
Tại sao lại dung microservices ( tìm hiểu các vấn đề xung quanh khi deploy như dtb để đâu, deploy ntn, …) 
Xử lí nghiệp vụ không cần riêng rẽ, dtb không quá lớn, chỉ nên tách riêng cho từng nền tảng, dtb nên dung chung không nên dung riêng 
Sửa lại kế hoạch iter nên từ 2-3 weeks 
Làm lại các phần theo template ( phần 4, 5)
Phần 2. Tìm hiểu lại 
Làm nhầm bản cũ rồi 
Report 3:  
Review context diagram: 
Sai tên hệ thống - Customers Management System for NAWACO (CMN)
Diagram sơ sài , sửa lại toàn bộ 
Aspose thư viện đọc đồng hồ - quan trọng tỉ lệ đánh giá ( phải đánh giá sao,…)
Buổi sau: Hoàn thiện lại report 1, 2, 3 – Làm them business flow – Usecase diagram cho từng role ( chưa cần mô tả - chỉ cần diagram) – Thu thập các biểu mẫu ( cứng / mềm) </t>
  </si>
  <si>
    <t>EP221</t>
  </si>
  <si>
    <t xml:space="preserve">Report 3: 
Context: 
Không đóng khung , là actor (người thao tác : sales, planner, dev, worker, …) chia theo roles chứ không phải phòng ban chung chung 
Thiếu tương tác với AI( tương tác bên ngoài) trong report và các diagram 
Khi chụp ảnh đồng hồ nước để dung AI đọc nên có lưu evidence theo mã đồng hồ định danh  
Swimlane:
Estimation thay thg quotation
Thay chữ kí số bằng chứ kí điện tử ( kí trên màn hình) 
Phải linh hoạt, tự sửa được đơn giá cho người có thẩm quyền 
Phải làm rõ rang các role 
Không ghép các thực thể thành chung 1 roles
Thao tác nhập kho (thao tác bên ngoài không nên đưa vào các sơ đồ )Nếu hội đồng hỏi thì trả lời nó liên quan đến dự án (Thầy đang phân vân kbt nên có hay không) 
 Usecase list: 
Ghi sai các phần manage ( không để manage) 
Tách ra các usecase 2 phần trên web và mobile 
Tách usecase phần vật tư 
Usecase diagram: 
Thiếu tên hệ thống
Lạm dụng các từ manage để mô tả các usecase 
Search, filter bills là thao tác đơn giản thuộc usecase view , không tính là usecase 
Không phân cụm usecase theo các tab  
Các usecase crud extend từ manage 
Erd: 
Hạn chế các kim cương ở giữa cho các quan hệ ( chỉ ghi text thôi / tránh rối bời)
Định nghĩa lại các quan hệ 
Làm rõ lại các entity, các mối quan hệ 
Sửa lại quan hệ của Customer-WaterMeter, Supply-Estimation, Customer-Roadmap. Hỏi lại quan hệ giữa User-WaterSupplyNetwork, sửa tên PendingConstructionRequest
Tìm hiểu các đơn vị tính toán linh kiện </t>
  </si>
  <si>
    <t xml:space="preserve">Đang chưa biết phạm vi bài toán
- 1.1 report 2 đập hết đi điền danh sách usecase vào đây và them các ước lượng
- Sửa 2.3 project training plan có cả anh Giang
- Tính them giải pháp về lâu dài chi phí cho các dịch vụ call, re-use bên ngoài
- vấn đề về độ chính xác + chi phí, bài toán về lưu trữ
- Tìm hiểu them bài toán về AI
- Show cả quá trình tìm hiểu xem xem giá cả, chi phí của việc thuê các server bên ngoài
- Nếu phát biểu bài toán ttrinh, phải phát biểu đầy đủ nội dung cũ
- Xử lí server xem có chịu được tải nếu nhiều người truy cập vào cuối tháng (200k bills)
- request và response vật tư trong kho   
- Define lại roadmap để xem là đang làm gì quản lí cái gì , các cấp
Tuần này hoặc Tuần sau: Báo cáo các đầu mục hoàn thành rp1 và rp2. Rp3 hoàn thiện usecase và các actor  </t>
  </si>
  <si>
    <t>BE310</t>
  </si>
  <si>
    <t>Mentor</t>
  </si>
  <si>
    <t>1: Check tiến độ công việc:
Total: 127 UC
Done: 3
Doing: 3
New: 122 
2: Phân chia đầu việc hiện tại
Doc: all team
Test: Giang
BE: Hoàn,Hiếu
FE: Dũng
-&gt; Test có thể overload ko kịp cần thêm, team dev nên chia thêm 1 bạn để đảm bảo công việc :
Doc: all team
Test: Giang,Đăng
BE: Hoàn,Hiếu
FE: Dũng
-&gt; Cần có sự chủ động quản lý công việc, thành viên nào có hoàn thành công việc sớm thì có thể qua hỗ trợ các thành viên khác
3: Dự toán công việc 
Mỗi tuần hoàn thành 20 UC
-&gt; cần tính toán, phân chia công việc phù hợp
-&gt; Từ tuần sau sẽ báo cáo công việc theo đã hoàn thành tất cả các khâu cho bn UC từ đó thể hiện nhanh chậm so với dự toán công việc
4: Về công nghệ AI
Cân nhắc chi phí cho OCR,space và collab pro
Confident cần excel đánh giá kqua đọc OCR cho 1 số lượng ảnh dataset</t>
  </si>
  <si>
    <t>Total</t>
  </si>
  <si>
    <t>Done</t>
  </si>
  <si>
    <t>Doing</t>
  </si>
  <si>
    <t>New</t>
  </si>
  <si>
    <t>Pending</t>
  </si>
  <si>
    <t xml:space="preserve">BIÊN BẢN CUỘC HỌP BÁO CÁO TIẾN ĐỘ LẦN THỨ 6
26-feb,2026
      Góp ý về phát triển phần mềm.
-          Nên làm song song giữa Backend và Frontend, để khi nào backend xong thì Frontend có thể chạy được luôn qua API ( định nghĩa API trước khi làm)
-          Không làm lệch nhau vì rất dễ xung đột
-          Chưa làm các usecase quy trình ( dữ liệu xử lý trên nhiều table) (phần này lưu ý)
-          Góp ý phần đặc tả function là đặc tả các màn hình trong SRS
-          Có layout màn hình là phải viết test cho các màn hình ( viết test case cho tất cả các usecase )
-          Hoàn nên để effort để ép tiến độ số lượng .
-          Chủ động ping với nhau để pull, push, commit.
Góp ý về AI.
-          Đã xong phần dataset, sang tuần sau bắt đầu train AI
-          Chốt, nghiên cứu chi phí về vận hành (server,cloud) sử dụng hang tháng  và sử dụng AI ( có thể hội đồng sẽ hỏi vấn đề này)
-          Server nên thuê 1 con vps về để dung
-          Chi phí nếu tự build – 30tr (1 tháng)
-          Thuê server – 10tr ( 1 tháng)
-          Về tìm hiểu them mail google cloud storage
-          Nvien xử lí bài toán nhân công khi mà xử lí vấn đề AI
-          Hỏi về quy mô nhân sự phòng kinh doanh
-          Phải hiểu đằng sau
-          Không test bằng AI, phải tự test, đánh giá sát với tài liệu </t>
  </si>
  <si>
    <t>EP209</t>
  </si>
  <si>
    <t>March 9, 2026
           BIÊN BẢN CUỘC HỌP LẦN THỨ 7 
358 effort đang bị thiếu (estimate)
Sequence: có thể bỏ qua API gateway,
Nếu tập trung vẽ sequence, ưu tiên vẽ các luồng chính trước: hợp đồng lắp đặt, xuất bán, …
Phần test: test được 50 usecase  =&gt; Tăng tốc làm test
-          unit chọn 20 function trên luồng chính để viết testcase
-          Intergration test – test toàn bộ ( thêm cột chụp màn hình – thông báo kết quả)
-          Log phải có level
-          Nên chia Define Logs ra các sheet theo các level ( hoặc thêm column level) để dễ theo dõi thống kê
AI
-          Thông tin đồng hồ đấy của ai ?
-          Nếu số lượng có series là 30% thì giải quyết như thế nào. =&gt; Cần thống kê số lượng series number, nếu không có series thì có mã nào thay thế.
-          Giải quyết những nhà không có số series ??
-          Ask: Thực tế có đồng hồ không có số series không – Nên quét mã vạch
-          Gợi ý giải quyết vđề: Update series cho các đồng hồ mất series
-          Đề cập đến tỉ lệ
-          Vấn đề về server nếu dự án được chạy thật ( Nên đầu tư 1 con server)</t>
  </si>
  <si>
    <t xml:space="preserve">BE204 </t>
  </si>
  <si>
    <t xml:space="preserve"> 
March 12, 2026
           BIÊN BẢN CUỘC HỌP LẦN THỨ 8 
-        Thu nhỏ khoảng cách message giữa các service 
-        Phần đặc tả usecase: main flow chỉ có 1 actor duy nhất, không có qua lại giữ 2, nhiều actor
Sửa lại đặc tả usecase. Mô tả các bước trong luồng chính, luồng thay thế. Sai templete sửa lại hết .
-        templete functional cũng sai = &gt; cần phải sửa lại
-        126 sequence diagram phải vẽ
-        126 class diagram phải vẽ
Test: 
-        Các function, description của test chạy song song với nhau 
</t>
  </si>
  <si>
    <t>BE308</t>
  </si>
  <si>
    <t xml:space="preserve"> 
March 19, 2026
           BIÊN BẢN CUỘC HỌP LẦN THỨ 9
- Góp ý: Bỏ phần mobile 
- Thống kê cả phần code và phần test
- Demo luồng chính
</t>
  </si>
  <si>
    <t xml:space="preserve">-        Nên Role hóa mục trang chủ khi vào web, không nên để chung chung ( Thống kê cho cấp quản lí, Các task cần làm, danh sách khảo sát, …) - Dashboard: + news, todo list
-        Trang chạy dự toán = ghi chú hơi bé – Hệ số chưa load đc hệ số mặc định – Các đơn vị tính, khối lượng , số lượng để số thập phân 
-        Popup đang để chữ màu xanh 
-        Phần Dự Toán : Cần them bản nháp cho các dự toán =&gt; Nên để thành nút Lưu ( lưu bản nháp) / Gửi ( Chờ duyệt), sau khi đã hoàn thành thì disable nút gửi; chưa test ảnh thiết kế - Chưa phân quyền – Đổi tên duyệt dự toán, … - Thừa phần đã duyệt
-        Xem lại swimlane của phần duyệt đơn lắp đặt mới. 
-        Trưởng phòng từ chối Status đổi hết các khâu đằng trước. ( Rcm: tạo them status riêng cho duyệt dự toán) – Thêm ghi chú cho duyệt dự toán của Trưởng phòng. 
-        Tạo số phiếu thu, số đơn chưa tự tạo mã 
-        Làm hợp đồng: Mã hợp đồng chưa tự tạo ra mã.
-        Giao Thi Công: Bỏ luôn trang chủ, load ra luôn trang thi công 
-        Duyệt công trình xong =&gt; tự tạo quyết toán 
-        Trường ghi chú tạo quyết toán bị lỗi ( Both)
-        Kiểm tra trường tìm kiếm của popup ( tất cả)
-        Thiếu details chi tiết của đơn lắp đặt mới – Biding thiếu dữ liệu qua khách hang mới ( them search cus by name) – Nên biding hết dữ liệu, kh cần nhập gì cả 
Phần AI: Rcm 3 chức năng để fill đủ các trường hợp 
-        Chụp phát tự up hết lên hệ thống (Rcm)
-        Đang làm theo hướng thủ công (Đây chỉ là hướng back-up)  
-        Hỗ trợ nhập thủ công   
-        Bổ sung phần đánh giá AI ( đánh giá tính chính xác, đánh giá bài toán tiền lương của nvien xem cnao hơn )
-        Số nhân công ghi thu, mức lương của họ ? 
Review tuần 13,14 
review lại scope và xem lại tiến độ của dự án, có phù hợp để ra bảo vệ đồ án  
   Phần Test: Test 4 report and statitics 102,3,4,5
</t>
  </si>
  <si>
    <t xml:space="preserve">- Ra hội đồng, ưu tiên chạy trên deploy 
- Các đơn lắp đặt mới ( sửa có thể tab/ Enter để chuyển trường thông tin) 
- Số hồ sơ chưa phải là số to nhất 
-tạo đơn mới xong ko tự fill lại trường này
-Địa chỉ lắp đặt chưa validate số lượng kí tự đầu vào 
-Số nhân khẩu cx chưa validate 
-Nơi cấp CCCD nên đổi thành dropdown chọn nhé hoặc ko cho sửa 
-Bấm vào đường linh của list đơn bên dưới ko chuyển đến bảng info thêm chuyển hướng 
-Mã biểu mẫu mã hồ sơ tự sinh, ko hiện or ko edit nhé
- Trả về lỗi cụ thể ( không để lỗi internal Server) khuyên khích bắt lỗi từ FE
- Quản lí them mới phiếu thu ( hiển thị sai giá tiền)
- Dsach dự toán quyết toán sắp xếp theo ngày tạo mới =&gt; cũ
- Khi demo nên in ra ảnh màu, để tránh nhiễu tần số quét do conflict giữa camera và màn hình
-Quy chuẩn số nguyên cho các đồng hồ ( thực chất là đếm số ô) them 1 cột đếm số ô, sửa số ô fix cứng với serial number để đọc ra số đồng hồ nước. 
- Anh đăng, xử lí cắt chuỗi .
- Chụp lần đầu, nhập ô số phần Nguyên.  
- Lúc gửi ảnh về server, không đợi xử lí, nhận về response =&gt; trả về trang dsach khách hàng luôn.
- Tập trung đặc tả (report)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</si>
</sst>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b/>
      <sz val="11.0"/>
      <color theme="1"/>
      <name val="Times New Roman"/>
    </font>
    <font>
      <sz val="11.0"/>
      <color theme="1"/>
      <name val="Times New Roman"/>
    </font>
    <font>
      <b/>
      <color theme="1"/>
      <name val="Arial"/>
      <scheme val="minor"/>
    </font>
    <font>
      <color theme="1"/>
      <name val="Arial"/>
      <scheme val="minor"/>
    </font>
  </fonts>
  <fills count="4">
    <fill>
      <patternFill patternType="none"/>
    </fill>
    <fill>
      <patternFill patternType="lightGray"/>
    </fill>
    <fill>
      <patternFill patternType="solid">
        <fgColor rgb="FFD9EAD3"/>
        <bgColor rgb="FFD9EAD3"/>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shrinkToFit="0" vertical="center" wrapText="1"/>
    </xf>
    <xf borderId="0" fillId="0" fontId="2" numFmtId="164"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1" fillId="3" fontId="3" numFmtId="0" xfId="0" applyAlignment="1" applyBorder="1" applyFill="1" applyFont="1">
      <alignment readingOrder="0"/>
    </xf>
    <xf borderId="1" fillId="0" fontId="4" numFmtId="0" xfId="0" applyAlignment="1" applyBorder="1" applyFont="1">
      <alignment readingOrder="0"/>
    </xf>
    <xf borderId="1"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0</xdr:row>
      <xdr:rowOff>0</xdr:rowOff>
    </xdr:from>
    <xdr:ext cx="3867150" cy="14382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0</xdr:row>
      <xdr:rowOff>0</xdr:rowOff>
    </xdr:from>
    <xdr:ext cx="3867150" cy="14382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t="s">
        <v>0</v>
      </c>
    </row>
    <row r="2">
      <c r="A2" s="2" t="s">
        <v>1</v>
      </c>
      <c r="B2" s="3">
        <v>46030.0</v>
      </c>
    </row>
    <row r="3">
      <c r="A3" s="2" t="s">
        <v>2</v>
      </c>
      <c r="B3" s="4" t="s">
        <v>3</v>
      </c>
    </row>
    <row r="4">
      <c r="A4" s="2" t="s">
        <v>4</v>
      </c>
      <c r="B4" s="2" t="s">
        <v>5</v>
      </c>
    </row>
    <row r="5">
      <c r="A5" s="2" t="s">
        <v>6</v>
      </c>
      <c r="B5" s="2" t="s">
        <v>7</v>
      </c>
    </row>
    <row r="6">
      <c r="B6" s="2" t="s">
        <v>8</v>
      </c>
    </row>
    <row r="7">
      <c r="B7" s="2" t="s">
        <v>9</v>
      </c>
    </row>
    <row r="8">
      <c r="B8" s="2" t="s">
        <v>10</v>
      </c>
    </row>
    <row r="9">
      <c r="B9" s="2" t="s">
        <v>11</v>
      </c>
    </row>
    <row r="10">
      <c r="A10" s="2" t="s">
        <v>12</v>
      </c>
      <c r="B10" s="2" t="s">
        <v>13</v>
      </c>
    </row>
  </sheetData>
  <mergeCells count="12">
    <mergeCell ref="B7:J7"/>
    <mergeCell ref="B8:J8"/>
    <mergeCell ref="B10:J30"/>
    <mergeCell ref="A5:A9"/>
    <mergeCell ref="A10:A30"/>
    <mergeCell ref="A1:J1"/>
    <mergeCell ref="B2:J2"/>
    <mergeCell ref="B3:J3"/>
    <mergeCell ref="B4:J4"/>
    <mergeCell ref="B5:J5"/>
    <mergeCell ref="B6:J6"/>
    <mergeCell ref="B9:J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t="s">
        <v>0</v>
      </c>
    </row>
    <row r="2">
      <c r="A2" s="2" t="s">
        <v>1</v>
      </c>
      <c r="B2" s="3">
        <v>46037.0</v>
      </c>
    </row>
    <row r="3">
      <c r="A3" s="2" t="s">
        <v>2</v>
      </c>
      <c r="B3" s="4" t="s">
        <v>14</v>
      </c>
    </row>
    <row r="4">
      <c r="A4" s="2" t="s">
        <v>4</v>
      </c>
      <c r="B4" s="2" t="s">
        <v>5</v>
      </c>
    </row>
    <row r="5">
      <c r="A5" s="2" t="s">
        <v>6</v>
      </c>
      <c r="B5" s="2" t="s">
        <v>7</v>
      </c>
    </row>
    <row r="6">
      <c r="B6" s="2" t="s">
        <v>8</v>
      </c>
    </row>
    <row r="7">
      <c r="B7" s="2" t="s">
        <v>9</v>
      </c>
    </row>
    <row r="8">
      <c r="B8" s="2" t="s">
        <v>10</v>
      </c>
    </row>
    <row r="9">
      <c r="B9" s="2" t="s">
        <v>11</v>
      </c>
    </row>
    <row r="10">
      <c r="A10" s="2" t="s">
        <v>12</v>
      </c>
      <c r="B10" s="2" t="s">
        <v>15</v>
      </c>
    </row>
  </sheetData>
  <mergeCells count="12">
    <mergeCell ref="B7:J7"/>
    <mergeCell ref="B8:J8"/>
    <mergeCell ref="B10:J30"/>
    <mergeCell ref="A5:A9"/>
    <mergeCell ref="A10:A30"/>
    <mergeCell ref="A1:J1"/>
    <mergeCell ref="B2:J2"/>
    <mergeCell ref="B3:J3"/>
    <mergeCell ref="B4:J4"/>
    <mergeCell ref="B5:J5"/>
    <mergeCell ref="B6:J6"/>
    <mergeCell ref="B9:J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t="s">
        <v>0</v>
      </c>
    </row>
    <row r="2">
      <c r="A2" s="2" t="s">
        <v>1</v>
      </c>
      <c r="B2" s="3">
        <v>46044.0</v>
      </c>
    </row>
    <row r="3">
      <c r="A3" s="2" t="s">
        <v>2</v>
      </c>
      <c r="B3" s="4" t="s">
        <v>16</v>
      </c>
    </row>
    <row r="4">
      <c r="A4" s="2" t="s">
        <v>4</v>
      </c>
      <c r="B4" s="2" t="s">
        <v>5</v>
      </c>
    </row>
    <row r="5">
      <c r="A5" s="2" t="s">
        <v>6</v>
      </c>
      <c r="B5" s="2" t="s">
        <v>7</v>
      </c>
    </row>
    <row r="6">
      <c r="B6" s="2" t="s">
        <v>8</v>
      </c>
    </row>
    <row r="7">
      <c r="B7" s="2" t="s">
        <v>9</v>
      </c>
    </row>
    <row r="8">
      <c r="B8" s="2" t="s">
        <v>10</v>
      </c>
    </row>
    <row r="9">
      <c r="B9" s="2" t="s">
        <v>11</v>
      </c>
    </row>
    <row r="10">
      <c r="A10" s="2" t="s">
        <v>12</v>
      </c>
      <c r="B10" s="2" t="s">
        <v>17</v>
      </c>
    </row>
  </sheetData>
  <mergeCells count="12">
    <mergeCell ref="B7:J7"/>
    <mergeCell ref="B8:J8"/>
    <mergeCell ref="B10:J31"/>
    <mergeCell ref="A5:A9"/>
    <mergeCell ref="A10:A31"/>
    <mergeCell ref="A1:J1"/>
    <mergeCell ref="B2:J2"/>
    <mergeCell ref="B3:J3"/>
    <mergeCell ref="B4:J4"/>
    <mergeCell ref="B5:J5"/>
    <mergeCell ref="B6:J6"/>
    <mergeCell ref="B9:J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t="s">
        <v>0</v>
      </c>
    </row>
    <row r="2">
      <c r="A2" s="2" t="s">
        <v>1</v>
      </c>
      <c r="B2" s="3">
        <v>46051.0</v>
      </c>
    </row>
    <row r="3">
      <c r="A3" s="2" t="s">
        <v>2</v>
      </c>
      <c r="B3" s="4" t="s">
        <v>3</v>
      </c>
    </row>
    <row r="4">
      <c r="A4" s="2" t="s">
        <v>4</v>
      </c>
      <c r="B4" s="2" t="s">
        <v>5</v>
      </c>
    </row>
    <row r="5">
      <c r="A5" s="2" t="s">
        <v>6</v>
      </c>
      <c r="B5" s="2" t="s">
        <v>7</v>
      </c>
    </row>
    <row r="6">
      <c r="B6" s="2" t="s">
        <v>8</v>
      </c>
    </row>
    <row r="7">
      <c r="B7" s="2" t="s">
        <v>9</v>
      </c>
    </row>
    <row r="8">
      <c r="B8" s="2" t="s">
        <v>10</v>
      </c>
    </row>
    <row r="9">
      <c r="B9" s="2" t="s">
        <v>11</v>
      </c>
    </row>
    <row r="10">
      <c r="A10" s="2" t="s">
        <v>12</v>
      </c>
      <c r="B10" s="2" t="s">
        <v>18</v>
      </c>
    </row>
  </sheetData>
  <mergeCells count="12">
    <mergeCell ref="B7:J7"/>
    <mergeCell ref="B8:J8"/>
    <mergeCell ref="B10:J30"/>
    <mergeCell ref="A5:A9"/>
    <mergeCell ref="A10:A30"/>
    <mergeCell ref="A1:J1"/>
    <mergeCell ref="B2:J2"/>
    <mergeCell ref="B3:J3"/>
    <mergeCell ref="B4:J4"/>
    <mergeCell ref="B5:J5"/>
    <mergeCell ref="B6:J6"/>
    <mergeCell ref="B9:J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t="s">
        <v>0</v>
      </c>
    </row>
    <row r="2">
      <c r="A2" s="2" t="s">
        <v>1</v>
      </c>
      <c r="B2" s="3">
        <v>46058.0</v>
      </c>
    </row>
    <row r="3">
      <c r="A3" s="2" t="s">
        <v>2</v>
      </c>
      <c r="B3" s="4" t="s">
        <v>19</v>
      </c>
    </row>
    <row r="4">
      <c r="A4" s="2" t="s">
        <v>20</v>
      </c>
      <c r="B4" s="2" t="s">
        <v>5</v>
      </c>
    </row>
    <row r="5">
      <c r="A5" s="2" t="s">
        <v>6</v>
      </c>
      <c r="B5" s="2" t="s">
        <v>7</v>
      </c>
    </row>
    <row r="6">
      <c r="B6" s="2" t="s">
        <v>8</v>
      </c>
    </row>
    <row r="7">
      <c r="B7" s="2" t="s">
        <v>9</v>
      </c>
    </row>
    <row r="8">
      <c r="B8" s="2" t="s">
        <v>10</v>
      </c>
    </row>
    <row r="9">
      <c r="B9" s="2" t="s">
        <v>11</v>
      </c>
    </row>
    <row r="10">
      <c r="A10" s="2" t="s">
        <v>12</v>
      </c>
      <c r="B10" s="2" t="s">
        <v>21</v>
      </c>
    </row>
  </sheetData>
  <mergeCells count="12">
    <mergeCell ref="B7:J7"/>
    <mergeCell ref="B8:J8"/>
    <mergeCell ref="B10:J31"/>
    <mergeCell ref="A5:A9"/>
    <mergeCell ref="A10:A31"/>
    <mergeCell ref="A1:J1"/>
    <mergeCell ref="B2:J2"/>
    <mergeCell ref="B3:J3"/>
    <mergeCell ref="B4:J4"/>
    <mergeCell ref="B5:J5"/>
    <mergeCell ref="B6:J6"/>
    <mergeCell ref="B9:J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K1" s="5" t="s">
        <v>22</v>
      </c>
      <c r="L1" s="5">
        <v>126.0</v>
      </c>
    </row>
    <row r="2">
      <c r="A2" s="2" t="s">
        <v>1</v>
      </c>
      <c r="B2" s="3">
        <v>46079.0</v>
      </c>
      <c r="K2" s="6" t="s">
        <v>23</v>
      </c>
      <c r="L2" s="6">
        <v>37.0</v>
      </c>
    </row>
    <row r="3">
      <c r="A3" s="2" t="s">
        <v>2</v>
      </c>
      <c r="B3" s="4" t="s">
        <v>14</v>
      </c>
      <c r="K3" s="6" t="s">
        <v>24</v>
      </c>
      <c r="L3" s="6">
        <v>16.0</v>
      </c>
    </row>
    <row r="4">
      <c r="A4" s="2" t="s">
        <v>20</v>
      </c>
      <c r="B4" s="2" t="s">
        <v>5</v>
      </c>
      <c r="K4" s="6" t="s">
        <v>25</v>
      </c>
      <c r="L4" s="6">
        <v>0.0</v>
      </c>
    </row>
    <row r="5">
      <c r="A5" s="2" t="s">
        <v>6</v>
      </c>
      <c r="B5" s="2" t="s">
        <v>7</v>
      </c>
      <c r="K5" s="6" t="s">
        <v>26</v>
      </c>
      <c r="L5" s="7">
        <f>L1-L2-L3</f>
        <v>73</v>
      </c>
    </row>
    <row r="6">
      <c r="B6" s="2" t="s">
        <v>8</v>
      </c>
    </row>
    <row r="7">
      <c r="B7" s="2" t="s">
        <v>10</v>
      </c>
    </row>
    <row r="8">
      <c r="B8" s="2" t="s">
        <v>11</v>
      </c>
    </row>
    <row r="9">
      <c r="A9" s="2" t="s">
        <v>12</v>
      </c>
      <c r="B9" s="2" t="s">
        <v>27</v>
      </c>
    </row>
  </sheetData>
  <mergeCells count="11">
    <mergeCell ref="B7:J7"/>
    <mergeCell ref="B8:J8"/>
    <mergeCell ref="A9:A30"/>
    <mergeCell ref="B9:J30"/>
    <mergeCell ref="A1:J1"/>
    <mergeCell ref="B2:J2"/>
    <mergeCell ref="B3:J3"/>
    <mergeCell ref="B4:J4"/>
    <mergeCell ref="A5:A8"/>
    <mergeCell ref="B5:J5"/>
    <mergeCell ref="B6:J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row>
    <row r="2">
      <c r="A2" s="2" t="s">
        <v>1</v>
      </c>
      <c r="B2" s="3">
        <v>46090.0</v>
      </c>
    </row>
    <row r="3">
      <c r="A3" s="2" t="s">
        <v>2</v>
      </c>
      <c r="B3" s="4" t="s">
        <v>28</v>
      </c>
    </row>
    <row r="4">
      <c r="A4" s="2" t="s">
        <v>20</v>
      </c>
      <c r="B4" s="2" t="s">
        <v>5</v>
      </c>
    </row>
    <row r="5">
      <c r="A5" s="2" t="s">
        <v>6</v>
      </c>
      <c r="B5" s="2" t="s">
        <v>7</v>
      </c>
    </row>
    <row r="6">
      <c r="B6" s="2" t="s">
        <v>8</v>
      </c>
    </row>
    <row r="7">
      <c r="B7" s="2" t="s">
        <v>9</v>
      </c>
    </row>
    <row r="8">
      <c r="B8" s="2" t="s">
        <v>10</v>
      </c>
    </row>
    <row r="9">
      <c r="B9" s="2" t="s">
        <v>11</v>
      </c>
    </row>
    <row r="10">
      <c r="A10" s="2" t="s">
        <v>12</v>
      </c>
      <c r="B10" s="2" t="s">
        <v>29</v>
      </c>
    </row>
  </sheetData>
  <mergeCells count="12">
    <mergeCell ref="B7:J7"/>
    <mergeCell ref="B8:J8"/>
    <mergeCell ref="B10:J31"/>
    <mergeCell ref="A5:A9"/>
    <mergeCell ref="A10:A31"/>
    <mergeCell ref="A1:J1"/>
    <mergeCell ref="B2:J2"/>
    <mergeCell ref="B3:J3"/>
    <mergeCell ref="B4:J4"/>
    <mergeCell ref="B5:J5"/>
    <mergeCell ref="B6:J6"/>
    <mergeCell ref="B9:J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row>
    <row r="2">
      <c r="A2" s="2" t="s">
        <v>1</v>
      </c>
      <c r="B2" s="3">
        <v>46093.0</v>
      </c>
    </row>
    <row r="3">
      <c r="A3" s="2" t="s">
        <v>2</v>
      </c>
      <c r="B3" s="4" t="s">
        <v>30</v>
      </c>
    </row>
    <row r="4">
      <c r="A4" s="2" t="s">
        <v>20</v>
      </c>
      <c r="B4" s="2" t="s">
        <v>5</v>
      </c>
    </row>
    <row r="5">
      <c r="A5" s="2" t="s">
        <v>6</v>
      </c>
      <c r="B5" s="2" t="s">
        <v>7</v>
      </c>
    </row>
    <row r="6">
      <c r="B6" s="2" t="s">
        <v>8</v>
      </c>
    </row>
    <row r="7">
      <c r="B7" s="2" t="s">
        <v>9</v>
      </c>
    </row>
    <row r="8">
      <c r="B8" s="2" t="s">
        <v>10</v>
      </c>
    </row>
    <row r="9">
      <c r="B9" s="2" t="s">
        <v>11</v>
      </c>
    </row>
    <row r="10">
      <c r="A10" s="2" t="s">
        <v>12</v>
      </c>
      <c r="B10" s="2" t="s">
        <v>31</v>
      </c>
    </row>
  </sheetData>
  <mergeCells count="12">
    <mergeCell ref="B7:J7"/>
    <mergeCell ref="B8:J8"/>
    <mergeCell ref="B10:J31"/>
    <mergeCell ref="A5:A9"/>
    <mergeCell ref="A10:A31"/>
    <mergeCell ref="A1:J1"/>
    <mergeCell ref="B2:J2"/>
    <mergeCell ref="B3:J3"/>
    <mergeCell ref="B4:J4"/>
    <mergeCell ref="B5:J5"/>
    <mergeCell ref="B6:J6"/>
    <mergeCell ref="B9:J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row>
    <row r="2">
      <c r="A2" s="2" t="s">
        <v>1</v>
      </c>
      <c r="B2" s="3">
        <v>46100.0</v>
      </c>
    </row>
    <row r="3">
      <c r="A3" s="2" t="s">
        <v>2</v>
      </c>
      <c r="B3" s="4" t="s">
        <v>32</v>
      </c>
    </row>
    <row r="4">
      <c r="A4" s="2" t="s">
        <v>20</v>
      </c>
      <c r="B4" s="2" t="s">
        <v>5</v>
      </c>
    </row>
    <row r="5">
      <c r="A5" s="2" t="s">
        <v>6</v>
      </c>
      <c r="B5" s="2" t="s">
        <v>7</v>
      </c>
    </row>
    <row r="6">
      <c r="B6" s="2" t="s">
        <v>8</v>
      </c>
    </row>
    <row r="7">
      <c r="B7" s="2" t="s">
        <v>9</v>
      </c>
    </row>
    <row r="8">
      <c r="B8" s="2" t="s">
        <v>10</v>
      </c>
    </row>
    <row r="9">
      <c r="B9" s="2" t="s">
        <v>11</v>
      </c>
    </row>
    <row r="10">
      <c r="A10" s="2" t="s">
        <v>12</v>
      </c>
      <c r="B10" s="4" t="s">
        <v>33</v>
      </c>
    </row>
  </sheetData>
  <mergeCells count="12">
    <mergeCell ref="B7:J7"/>
    <mergeCell ref="B8:J8"/>
    <mergeCell ref="B10:J31"/>
    <mergeCell ref="A5:A9"/>
    <mergeCell ref="A10:A31"/>
    <mergeCell ref="A1:J1"/>
    <mergeCell ref="B2:J2"/>
    <mergeCell ref="B3:J3"/>
    <mergeCell ref="B4:J4"/>
    <mergeCell ref="B5:J5"/>
    <mergeCell ref="B6:J6"/>
    <mergeCell ref="B9:J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row>
    <row r="2">
      <c r="A2" s="2" t="s">
        <v>1</v>
      </c>
      <c r="B2" s="3">
        <v>46113.0</v>
      </c>
    </row>
    <row r="3">
      <c r="A3" s="2" t="s">
        <v>20</v>
      </c>
      <c r="B3" s="2" t="s">
        <v>5</v>
      </c>
    </row>
    <row r="4">
      <c r="A4" s="2" t="s">
        <v>6</v>
      </c>
      <c r="B4" s="2" t="s">
        <v>7</v>
      </c>
    </row>
    <row r="5">
      <c r="B5" s="2" t="s">
        <v>8</v>
      </c>
    </row>
    <row r="6">
      <c r="B6" s="2" t="s">
        <v>9</v>
      </c>
    </row>
    <row r="7">
      <c r="B7" s="2" t="s">
        <v>10</v>
      </c>
    </row>
    <row r="8">
      <c r="B8" s="2" t="s">
        <v>11</v>
      </c>
    </row>
    <row r="9">
      <c r="A9" s="2" t="s">
        <v>12</v>
      </c>
      <c r="B9" s="2" t="s">
        <v>34</v>
      </c>
    </row>
  </sheetData>
  <mergeCells count="11">
    <mergeCell ref="B7:J7"/>
    <mergeCell ref="B8:J8"/>
    <mergeCell ref="A9:A30"/>
    <mergeCell ref="B9:J30"/>
    <mergeCell ref="A1:J1"/>
    <mergeCell ref="B2:J2"/>
    <mergeCell ref="B3:J3"/>
    <mergeCell ref="A4:A8"/>
    <mergeCell ref="B4:J4"/>
    <mergeCell ref="B5:J5"/>
    <mergeCell ref="B6:J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5"/>
  </cols>
  <sheetData>
    <row r="1">
      <c r="A1" s="1"/>
    </row>
    <row r="2">
      <c r="A2" s="2" t="s">
        <v>1</v>
      </c>
      <c r="B2" s="3">
        <v>46125.0</v>
      </c>
    </row>
    <row r="3">
      <c r="A3" s="2" t="s">
        <v>20</v>
      </c>
      <c r="B3" s="2" t="s">
        <v>5</v>
      </c>
    </row>
    <row r="4">
      <c r="A4" s="2" t="s">
        <v>6</v>
      </c>
      <c r="B4" s="2" t="s">
        <v>7</v>
      </c>
    </row>
    <row r="5">
      <c r="B5" s="2" t="s">
        <v>8</v>
      </c>
    </row>
    <row r="6">
      <c r="B6" s="2" t="s">
        <v>9</v>
      </c>
    </row>
    <row r="7">
      <c r="B7" s="2" t="s">
        <v>10</v>
      </c>
    </row>
    <row r="8">
      <c r="B8" s="2" t="s">
        <v>11</v>
      </c>
    </row>
    <row r="9">
      <c r="A9" s="2" t="s">
        <v>12</v>
      </c>
      <c r="B9" s="2" t="s">
        <v>35</v>
      </c>
    </row>
  </sheetData>
  <mergeCells count="11">
    <mergeCell ref="B7:J7"/>
    <mergeCell ref="B8:J8"/>
    <mergeCell ref="A9:A30"/>
    <mergeCell ref="B9:J30"/>
    <mergeCell ref="A1:J1"/>
    <mergeCell ref="B2:J2"/>
    <mergeCell ref="B3:J3"/>
    <mergeCell ref="A4:A8"/>
    <mergeCell ref="B4:J4"/>
    <mergeCell ref="B5:J5"/>
    <mergeCell ref="B6:J6"/>
  </mergeCells>
  <drawing r:id="rId1"/>
</worksheet>
</file>